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hannesglock/Library/Mobile Documents/com~apple~CloudDocs/"/>
    </mc:Choice>
  </mc:AlternateContent>
  <xr:revisionPtr revIDLastSave="0" documentId="13_ncr:1_{53815369-37A5-5946-B0CC-E9DCCEC2E42E}" xr6:coauthVersionLast="47" xr6:coauthVersionMax="47" xr10:uidLastSave="{00000000-0000-0000-0000-000000000000}"/>
  <bookViews>
    <workbookView xWindow="-2920" yWindow="-20180" windowWidth="28520" windowHeight="16280" xr2:uid="{00000000-000D-0000-FFFF-FFFF00000000}"/>
  </bookViews>
  <sheets>
    <sheet name="Tabelle1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1" l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<sst xmlns="http://schemas.openxmlformats.org/spreadsheetml/2006/main" count="38" uniqueCount="32">
  <si>
    <t>Mineralwasser</t>
  </si>
  <si>
    <t>Apfelschorle</t>
  </si>
  <si>
    <t>Limo</t>
  </si>
  <si>
    <t>Holunder</t>
  </si>
  <si>
    <t>Apfelsaft</t>
  </si>
  <si>
    <t>Bier - alle Sorten</t>
  </si>
  <si>
    <t xml:space="preserve">Schorle Rot oder Weiß / 0,25 L </t>
  </si>
  <si>
    <t>Wein Rot, Rose oder Weiß / 0,25L</t>
  </si>
  <si>
    <t>Wein Rot, Rose oder Weiß / 1L</t>
  </si>
  <si>
    <t>Acolon / 0,25L</t>
  </si>
  <si>
    <t>Acolon / 0,75L</t>
  </si>
  <si>
    <t>Sekt / Flasche</t>
  </si>
  <si>
    <t>Prosecco</t>
  </si>
  <si>
    <t>Prinz</t>
  </si>
  <si>
    <t>Rammazotti</t>
  </si>
  <si>
    <t>1,3 Euro</t>
  </si>
  <si>
    <t>1,2 Euro</t>
  </si>
  <si>
    <t>1,1 Euro</t>
  </si>
  <si>
    <t>2 Euro</t>
  </si>
  <si>
    <t>Marcus</t>
  </si>
  <si>
    <t>Jürgen</t>
  </si>
  <si>
    <t>Birgit</t>
  </si>
  <si>
    <t>Heidi</t>
  </si>
  <si>
    <t>Florian</t>
  </si>
  <si>
    <t>Lisa</t>
  </si>
  <si>
    <t>Küche</t>
  </si>
  <si>
    <t>Namen:</t>
  </si>
  <si>
    <t>2,50 Euro</t>
  </si>
  <si>
    <t>10 Euro</t>
  </si>
  <si>
    <t>3 Euro</t>
  </si>
  <si>
    <t>9 Euro</t>
  </si>
  <si>
    <t>1 Euro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</si>
</sst>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3" xfId="0" applyFill="1" applyBorder="1"/>
    <xf numFmtId="164" fontId="0" fillId="2" borderId="1" xfId="0" applyNumberFormat="1" applyFill="1" applyBorder="1"/>
    <xf numFmtId="0" fontId="0" fillId="2" borderId="2" xfId="0" applyFill="1" applyBorder="1"/>
    <xf numFmtId="0" fontId="0" fillId="0" borderId="3" xfId="0" applyBorder="1"/>
    <xf numFmtId="0" fontId="0" fillId="0" borderId="2" xfId="0" applyBorder="1"/>
    <xf numFmtId="1" fontId="0" fillId="0" borderId="1" xfId="0" applyNumberFormat="1" applyBorder="1"/>
    <xf numFmtId="1" fontId="0" fillId="2" borderId="1" xfId="0" applyNumberFormat="1" applyFill="1" applyBorder="1"/>
    <xf numFmtId="1" fontId="0" fillId="2" borderId="2" xfId="0" applyNumberFormat="1" applyFill="1" applyBorder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u&#776;tten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istorie"/>
      <sheetName val="Eingabe"/>
      <sheetName val="Einnahmen"/>
      <sheetName val="Hüttenabrechnung"/>
      <sheetName val="Hüttenabrechnung Übersicht"/>
      <sheetName val="Kantinenabrechnung"/>
      <sheetName val="Hüttenwartabrechnung"/>
      <sheetName val="Küchenpersonalabrechnung"/>
      <sheetName val="Spendenermittlung"/>
      <sheetName val="Abrechnung Köchin"/>
      <sheetName val="Abrechnung Kochwein"/>
      <sheetName val="Abrechnung Gast1"/>
      <sheetName val="Abrechnung Gast2"/>
      <sheetName val="Abrechnung Gast3"/>
      <sheetName val="Abrechnung Gast4"/>
      <sheetName val="Abrechnung Gast5"/>
      <sheetName val="Abrechnung Gast6"/>
      <sheetName val="Abrechnung Gast7"/>
      <sheetName val="Abrechnung Gast8"/>
      <sheetName val="Abrechnung Gast9"/>
      <sheetName val="Abrechnung Gast10"/>
      <sheetName val="Abrechnung Gast11"/>
      <sheetName val="Abrechnung Gast12"/>
      <sheetName val="Abrechnung Gast13"/>
      <sheetName val="Abrechnung Gast14"/>
      <sheetName val="Abrechnung Gast15"/>
      <sheetName val="Abrechnung Gast16"/>
      <sheetName val="Abrechnung Gast17"/>
      <sheetName val="Abrechnung Gast18"/>
      <sheetName val="Abrechnung Gast19"/>
      <sheetName val="Datenbank"/>
      <sheetName val="Kosten"/>
      <sheetName val="Getränkeliste"/>
      <sheetName val="Hygiene-DS-Unterschriften"/>
      <sheetName val="Meldeschein"/>
      <sheetName val="HüWa to Do"/>
      <sheetName val="Mengen Käse-Wurst-Brot"/>
      <sheetName val="Erweiterte Gästeliste"/>
      <sheetName val="Wertekopie Erw.Liste"/>
      <sheetName val="Sammelliste"/>
      <sheetName val="Wertekopie Sammelliste"/>
      <sheetName val="Belegungsliste"/>
      <sheetName val="Logo"/>
      <sheetName val="Zimmer"/>
      <sheetName val="Frühstücksliste"/>
      <sheetName val="Tischbelegung"/>
    </sheetNames>
    <sheetDataSet>
      <sheetData sheetId="0"/>
      <sheetData sheetId="1"/>
      <sheetData sheetId="2">
        <row r="13">
          <cell r="B13" t="str">
            <v>DE33600501010005013683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7">
          <cell r="B7" t="str">
            <v>Marcus Ernst</v>
          </cell>
        </row>
      </sheetData>
      <sheetData sheetId="13">
        <row r="7">
          <cell r="B7" t="str">
            <v>Jürgen Dollmann</v>
          </cell>
        </row>
      </sheetData>
      <sheetData sheetId="14">
        <row r="7">
          <cell r="B7" t="str">
            <v>Birgit Glock</v>
          </cell>
        </row>
      </sheetData>
      <sheetData sheetId="15">
        <row r="7">
          <cell r="B7" t="str">
            <v>Heidi Duke</v>
          </cell>
        </row>
      </sheetData>
      <sheetData sheetId="16">
        <row r="7">
          <cell r="B7" t="str">
            <v>Florian Binder</v>
          </cell>
        </row>
      </sheetData>
      <sheetData sheetId="17">
        <row r="7">
          <cell r="B7" t="str">
            <v>Lisa Marie Glock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2"/>
  <sheetViews>
    <sheetView tabSelected="1" workbookViewId="0">
      <selection activeCell="R2" sqref="R2"/>
    </sheetView>
  </sheetViews>
  <sheetFormatPr baseColWidth="10" defaultRowHeight="16" x14ac:dyDescent="0.2"/>
  <cols>
    <col min="3" max="3" width="15" customWidth="1"/>
    <col min="9" max="9" width="22" customWidth="1"/>
    <col min="10" max="10" width="21.33203125" customWidth="1"/>
    <col min="11" max="11" width="20.83203125" customWidth="1"/>
  </cols>
  <sheetData>
    <row r="1" spans="1:17" x14ac:dyDescent="0.2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2">
      <c r="A2" s="1" t="str">
        <f>IFERROR(LEFT([1]Eingabe!B13,FIND(" ",[1]Eingabe!B13)-1),"")</f>
        <v/>
      </c>
      <c r="B2" s="3" t="s">
        <v>26</v>
      </c>
      <c r="C2" s="9" t="s">
        <v>15</v>
      </c>
      <c r="D2" s="2" t="s">
        <v>16</v>
      </c>
      <c r="E2" s="2" t="s">
        <v>17</v>
      </c>
      <c r="F2" s="2" t="s">
        <v>15</v>
      </c>
      <c r="G2" s="2" t="s">
        <v>15</v>
      </c>
      <c r="H2" s="10" t="s">
        <v>18</v>
      </c>
      <c r="I2" s="10" t="s">
        <v>18</v>
      </c>
      <c r="J2" s="10" t="s">
        <v>27</v>
      </c>
      <c r="K2" s="10" t="s">
        <v>28</v>
      </c>
      <c r="L2" s="10" t="s">
        <v>29</v>
      </c>
      <c r="M2" s="10" t="s">
        <v>30</v>
      </c>
      <c r="N2" s="10" t="s">
        <v>28</v>
      </c>
      <c r="O2" s="3" t="s">
        <v>28</v>
      </c>
      <c r="P2" s="3" t="s">
        <v>31</v>
      </c>
      <c r="Q2" s="3" t="s">
        <v>18</v>
      </c>
    </row>
    <row r="3" spans="1:17" x14ac:dyDescent="0.2">
      <c r="A3" s="4" t="str">
        <f>IFERROR(LEFT('[1]Abrechnung Gast1'!$B$7,FIND(" ",'[1]Abrechnung Gast1'!$B$7)-1),"")</f>
        <v>Marcus</v>
      </c>
      <c r="B3" s="5" t="s">
        <v>19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17" x14ac:dyDescent="0.2">
      <c r="A4" s="1" t="str">
        <f>IFERROR(LEFT('[1]Abrechnung Gast2'!$B$7,FIND(" ",'[1]Abrechnung Gast2'!$B$7)-1),"")</f>
        <v>Jürgen</v>
      </c>
      <c r="B4" s="3" t="s">
        <v>20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17" x14ac:dyDescent="0.2">
      <c r="A5" s="4" t="str">
        <f>IFERROR(LEFT('[1]Abrechnung Gast3'!$B$7,FIND(" ",'[1]Abrechnung Gast3'!$B$7)-1),"")</f>
        <v>Birgit</v>
      </c>
      <c r="B5" s="5" t="s">
        <v>21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</row>
    <row r="6" spans="1:17" x14ac:dyDescent="0.2">
      <c r="A6" s="1" t="str">
        <f>IFERROR(LEFT('[1]Abrechnung Gast4'!$B$7,FIND(" ",'[1]Abrechnung Gast4'!$B$7)-1),"")</f>
        <v>Heidi</v>
      </c>
      <c r="B6" s="3" t="s">
        <v>22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17" x14ac:dyDescent="0.2">
      <c r="A7" s="4" t="str">
        <f>IFERROR(LEFT('[1]Abrechnung Gast5'!$B$7,FIND(" ",'[1]Abrechnung Gast5'!$B$7)-1),"")</f>
        <v>Florian</v>
      </c>
      <c r="B7" s="5" t="s">
        <v>23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17" x14ac:dyDescent="0.2">
      <c r="A8" s="1" t="str">
        <f>IFERROR(LEFT('[1]Abrechnung Gast6'!$B$7,FIND(" ",'[1]Abrechnung Gast6'!$B$7)-1),"")</f>
        <v>Lisa</v>
      </c>
      <c r="B8" s="3" t="s">
        <v>24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1</v>
      </c>
      <c r="N8" s="6">
        <v>0</v>
      </c>
      <c r="O8" s="6">
        <v>0</v>
      </c>
      <c r="P8" s="6">
        <v>2</v>
      </c>
      <c r="Q8" s="6">
        <v>0</v>
      </c>
    </row>
    <row r="9" spans="1:17" x14ac:dyDescent="0.2">
      <c r="A9" s="4" t="str">
        <f>IFERROR(LEFT('[1]Abrechnung Gast7'!$B$7,FIND(" ",'[1]Abrechnung Gast7'!$B$7)-1),"")</f>
        <v/>
      </c>
      <c r="B9" s="5"/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</row>
    <row r="10" spans="1:17" x14ac:dyDescent="0.2">
      <c r="A10" s="1" t="str">
        <f>IFERROR(LEFT('[1]Abrechnung Gast8'!$B$7,FIND(" ",'[1]Abrechnung Gast8'!$B$7)-1),"")</f>
        <v/>
      </c>
      <c r="B10" s="3"/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</row>
    <row r="11" spans="1:17" x14ac:dyDescent="0.2">
      <c r="A11" s="4" t="str">
        <f>IFERROR(LEFT('[1]Abrechnung Gast9'!$B$7,FIND(" ",'[1]Abrechnung Gast9'!$B$7)-1),"")</f>
        <v/>
      </c>
      <c r="B11" s="5"/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</row>
    <row r="12" spans="1:17" x14ac:dyDescent="0.2">
      <c r="A12" s="1" t="str">
        <f>IFERROR(LEFT('[1]Abrechnung Gast10'!$B$7,FIND(" ",'[1]Abrechnung Gast10'!$B$7)-1),"")</f>
        <v/>
      </c>
      <c r="B12" s="3"/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17" x14ac:dyDescent="0.2">
      <c r="A13" s="4" t="str">
        <f>IFERROR(LEFT('[1]Abrechnung Gast11'!$B$7,FIND(" ",'[1]Abrechnung Gast11'!$B$7)-1),"")</f>
        <v/>
      </c>
      <c r="B13" s="5"/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17" x14ac:dyDescent="0.2">
      <c r="A14" s="1" t="str">
        <f>IFERROR(LEFT('[1]Abrechnung Gast12'!$B$7,FIND(" ",'[1]Abrechnung Gast12'!$B$7)-1),"")</f>
        <v/>
      </c>
      <c r="B14" s="3"/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17" x14ac:dyDescent="0.2">
      <c r="A15" s="4" t="str">
        <f>IFERROR(LEFT('[1]Abrechnung Gast13'!$B$7,FIND(" ",'[1]Abrechnung Gast13'!$B$7)-1),"")</f>
        <v/>
      </c>
      <c r="B15" s="5"/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</row>
    <row r="16" spans="1:17" x14ac:dyDescent="0.2">
      <c r="A16" s="1" t="str">
        <f>IFERROR(LEFT('[1]Abrechnung Gast14'!$B$7,FIND(" ",'[1]Abrechnung Gast14'!$B$7)-1),"")</f>
        <v/>
      </c>
      <c r="B16" s="3"/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</row>
    <row r="17" spans="1:17" x14ac:dyDescent="0.2">
      <c r="A17" s="4" t="str">
        <f>IFERROR(LEFT('[1]Abrechnung Gast15'!$B$7,FIND(" ",'[1]Abrechnung Gast15'!$B$7)-1),"")</f>
        <v/>
      </c>
      <c r="B17" s="5"/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</row>
    <row r="18" spans="1:17" x14ac:dyDescent="0.2">
      <c r="A18" s="1" t="str">
        <f>IFERROR(LEFT('[1]Abrechnung Gast16'!$B$7,FIND(" ",'[1]Abrechnung Gast16'!$B$7)-1),"")</f>
        <v/>
      </c>
      <c r="B18" s="3"/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</row>
    <row r="19" spans="1:17" x14ac:dyDescent="0.2">
      <c r="A19" s="4" t="str">
        <f>IFERROR(LEFT('[1]Abrechnung Gast17'!$B$7,FIND(" ",'[1]Abrechnung Gast17'!$B$7)-1),"")</f>
        <v/>
      </c>
      <c r="B19" s="5"/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</row>
    <row r="20" spans="1:17" x14ac:dyDescent="0.2">
      <c r="A20" s="1" t="str">
        <f>IFERROR(LEFT('[1]Abrechnung Gast18'!$B$7,FIND(" ",'[1]Abrechnung Gast18'!$B$7)-1),"")</f>
        <v/>
      </c>
      <c r="B20" s="3"/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">
      <c r="A21" s="4" t="str">
        <f>IFERROR(LEFT('[1]Abrechnung Gast19'!$B$7,FIND(" ",'[1]Abrechnung Gast19'!$B$7)-1),"")</f>
        <v/>
      </c>
      <c r="B21" s="5"/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/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</row>
    <row r="22" spans="1:17" x14ac:dyDescent="0.2">
      <c r="A22" s="1" t="s">
        <v>25</v>
      </c>
      <c r="B22" s="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8"/>
      <c r="P22" s="8"/>
      <c r="Q22" s="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2023-03-28T13:01:19Z</dcterms:created>
  <dcterms:modified xsi:type="dcterms:W3CDTF">2023-03-30T15:16:45Z</dcterms:modified>
</cp:coreProperties>
</file>